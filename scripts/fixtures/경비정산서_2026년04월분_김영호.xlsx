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경비 정산서" state="visible" r:id="rId4"/>
  </sheets>
  <calcPr calcId="171027"/>
</workbook>
</file>

<file path=xl/sharedStrings.xml><?xml version="1.0" encoding="utf-8"?>
<sst xmlns="http://schemas.openxmlformats.org/spreadsheetml/2006/main" count="52" uniqueCount="40">
  <si>
    <t>경비 정산서</t>
  </si>
  <si>
    <t>소속</t>
  </si>
  <si>
    <t>공무부</t>
  </si>
  <si>
    <t>담당자</t>
  </si>
  <si>
    <t>김영호</t>
  </si>
  <si>
    <t>사용 기간</t>
  </si>
  <si>
    <t>2026-04-01 ~ 2026-04-30</t>
  </si>
  <si>
    <t>카드번호</t>
  </si>
  <si>
    <t>(기업카드) ****-****-****-3456</t>
  </si>
  <si>
    <t>법인카드 합계</t>
  </si>
  <si>
    <t>개인카드 합계</t>
  </si>
  <si>
    <t>현금 합계</t>
  </si>
  <si>
    <t>전체 합계</t>
  </si>
  <si>
    <t>날짜</t>
  </si>
  <si>
    <t>사용처</t>
  </si>
  <si>
    <t>금액</t>
  </si>
  <si>
    <t>결제수단</t>
  </si>
  <si>
    <t>항목</t>
  </si>
  <si>
    <t>사용 목적</t>
  </si>
  <si>
    <t>한솥식당</t>
  </si>
  <si>
    <t>법인카드</t>
  </si>
  <si>
    <t>복리후생비</t>
  </si>
  <si>
    <t>중식 : 김영호, 홍길동</t>
  </si>
  <si>
    <t>카페온도</t>
  </si>
  <si>
    <t>음료-김영호, 홍길동</t>
  </si>
  <si>
    <t>봄날식당</t>
  </si>
  <si>
    <t>석식 : 김영호</t>
  </si>
  <si>
    <t>한빛주유소</t>
  </si>
  <si>
    <t>주유비</t>
  </si>
  <si>
    <t>주유비-1742</t>
  </si>
  <si>
    <t>대가정식</t>
  </si>
  <si>
    <t>중식 : 김영호, 정수진, 작업자2</t>
  </si>
  <si>
    <t>으뜸철물</t>
  </si>
  <si>
    <t>물품구입비</t>
  </si>
  <si>
    <t>안전용품 구입</t>
  </si>
  <si>
    <t>시청 공영주차장</t>
  </si>
  <si>
    <t>기타</t>
  </si>
  <si>
    <t>주차비</t>
  </si>
  <si>
    <t>석식-김영호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</si>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</sst>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13" customWidth="1"/>
    <col min="2" max="2" width="26" customWidth="1"/>
    <col min="3" max="3" width="14" customWidth="1"/>
    <col min="4" max="4" width="12" customWidth="1"/>
    <col min="5" max="5" width="14" customWidth="1"/>
    <col min="6" max="6" width="38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3" t="s">
        <v>2</v>
      </c>
      <c r="D3" s="2" t="s">
        <v>3</v>
      </c>
      <c r="E3" s="3" t="s">
        <v>4</v>
      </c>
      <c r="F3" s="3"/>
    </row>
    <row r="4" spans="1:6" x14ac:dyDescent="0.25">
      <c r="A4" s="2" t="s">
        <v>5</v>
      </c>
      <c r="B4" s="3" t="s">
        <v>6</v>
      </c>
      <c r="D4" s="2" t="s">
        <v>7</v>
      </c>
      <c r="E4" s="3" t="s">
        <v>8</v>
      </c>
      <c r="F4" s="3"/>
    </row>
    <row r="5" spans="1:6" x14ac:dyDescent="0.25">
      <c r="A5" s="2" t="s">
        <v>9</v>
      </c>
      <c r="B5" s="4">
        <f>SUMIF(D9:D19,"법인카드",C9:C19)</f>
        <v>194000</v>
      </c>
      <c r="D5" s="2" t="s">
        <v>10</v>
      </c>
      <c r="E5" s="4">
        <f>SUMIF(D9:D19,"개인카드",C9:C19)</f>
        <v>0</v>
      </c>
      <c r="F5" s="4"/>
    </row>
    <row r="6" spans="1:6" x14ac:dyDescent="0.25">
      <c r="A6" s="2" t="s">
        <v>11</v>
      </c>
      <c r="B6" s="4">
        <f>SUMIF(D9:D19,"현금",C9:C19)</f>
        <v>0</v>
      </c>
      <c r="D6" s="2" t="s">
        <v>12</v>
      </c>
      <c r="E6" s="4">
        <f>C20</f>
        <v>194000</v>
      </c>
      <c r="F6" s="4"/>
    </row>
    <row r="8" spans="1:6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</row>
    <row r="9" spans="1:6" x14ac:dyDescent="0.25">
      <c r="A9" s="6">
        <v>46113</v>
      </c>
      <c r="B9" s="3" t="s">
        <v>19</v>
      </c>
      <c r="C9" s="7">
        <v>22000</v>
      </c>
      <c r="D9" s="8" t="s">
        <v>20</v>
      </c>
      <c r="E9" s="3" t="s">
        <v>21</v>
      </c>
      <c r="F9" s="3" t="s">
        <v>22</v>
      </c>
    </row>
    <row r="10" spans="1:6" x14ac:dyDescent="0.25">
      <c r="A10" s="6">
        <v>46113</v>
      </c>
      <c r="B10" s="3" t="s">
        <v>23</v>
      </c>
      <c r="C10" s="7">
        <v>5000</v>
      </c>
      <c r="D10" s="8" t="s">
        <v>20</v>
      </c>
      <c r="E10" s="3" t="s">
        <v>21</v>
      </c>
      <c r="F10" s="3" t="s">
        <v>24</v>
      </c>
    </row>
    <row r="11" spans="1:6" x14ac:dyDescent="0.25">
      <c r="A11" s="6">
        <v>46115</v>
      </c>
      <c r="B11" s="3" t="s">
        <v>25</v>
      </c>
      <c r="C11" s="7">
        <v>11000</v>
      </c>
      <c r="D11" s="8" t="s">
        <v>20</v>
      </c>
      <c r="E11" s="3" t="s">
        <v>21</v>
      </c>
      <c r="F11" s="3" t="s">
        <v>26</v>
      </c>
    </row>
    <row r="12" spans="1:6" x14ac:dyDescent="0.25">
      <c r="A12" s="8"/>
      <c r="B12" s="3"/>
      <c r="C12" s="9"/>
      <c r="D12" s="8"/>
      <c r="E12" s="3"/>
      <c r="F12" s="3"/>
    </row>
    <row r="13" spans="1:6" x14ac:dyDescent="0.25">
      <c r="A13" s="6">
        <v>46119</v>
      </c>
      <c r="B13" s="3" t="s">
        <v>27</v>
      </c>
      <c r="C13" s="7">
        <v>60000</v>
      </c>
      <c r="D13" s="8" t="s">
        <v>20</v>
      </c>
      <c r="E13" s="3" t="s">
        <v>28</v>
      </c>
      <c r="F13" s="3" t="s">
        <v>29</v>
      </c>
    </row>
    <row r="14" spans="1:6" x14ac:dyDescent="0.25">
      <c r="A14" s="8"/>
      <c r="B14" s="3"/>
      <c r="C14" s="9"/>
      <c r="D14" s="8"/>
      <c r="E14" s="3"/>
      <c r="F14" s="3"/>
    </row>
    <row r="15" spans="1:6" x14ac:dyDescent="0.25">
      <c r="A15" s="6">
        <v>46122</v>
      </c>
      <c r="B15" s="3" t="s">
        <v>30</v>
      </c>
      <c r="C15" s="7">
        <v>44000</v>
      </c>
      <c r="D15" s="8" t="s">
        <v>20</v>
      </c>
      <c r="E15" s="3" t="s">
        <v>21</v>
      </c>
      <c r="F15" s="3" t="s">
        <v>31</v>
      </c>
    </row>
    <row r="16" spans="1:6" x14ac:dyDescent="0.25">
      <c r="A16" s="6">
        <v>46126</v>
      </c>
      <c r="B16" s="3" t="s">
        <v>32</v>
      </c>
      <c r="C16" s="7">
        <v>35000</v>
      </c>
      <c r="D16" s="8" t="s">
        <v>20</v>
      </c>
      <c r="E16" s="3" t="s">
        <v>33</v>
      </c>
      <c r="F16" s="3" t="s">
        <v>34</v>
      </c>
    </row>
    <row r="17" spans="1:6" x14ac:dyDescent="0.25">
      <c r="A17" s="6">
        <v>46127</v>
      </c>
      <c r="B17" s="3" t="s">
        <v>35</v>
      </c>
      <c r="C17" s="7">
        <v>4000</v>
      </c>
      <c r="D17" s="8" t="s">
        <v>20</v>
      </c>
      <c r="E17" s="3" t="s">
        <v>36</v>
      </c>
      <c r="F17" s="3" t="s">
        <v>37</v>
      </c>
    </row>
    <row r="18" spans="1:6" x14ac:dyDescent="0.25">
      <c r="A18" s="8"/>
      <c r="B18" s="3"/>
      <c r="C18" s="9"/>
      <c r="D18" s="8"/>
      <c r="E18" s="3"/>
      <c r="F18" s="3"/>
    </row>
    <row r="19" spans="1:6" x14ac:dyDescent="0.25">
      <c r="A19" s="6">
        <v>46132</v>
      </c>
      <c r="B19" s="3" t="s">
        <v>25</v>
      </c>
      <c r="C19" s="7">
        <v>13000</v>
      </c>
      <c r="D19" s="8" t="s">
        <v>20</v>
      </c>
      <c r="E19" s="3" t="s">
        <v>21</v>
      </c>
      <c r="F19" s="3" t="s">
        <v>38</v>
      </c>
    </row>
    <row r="20" spans="1:6" x14ac:dyDescent="0.25">
      <c r="A20" s="2" t="s">
        <v>39</v>
      </c>
      <c r="B20" s="2"/>
      <c r="C20" s="10">
        <f>SUM(C9:C19)</f>
        <v>194000</v>
      </c>
      <c r="D20" s="2"/>
      <c r="E20" s="2"/>
      <c r="F20" s="2"/>
    </row>
  </sheetData>
  <mergeCells count="4">
    <mergeCell ref="E3:F3"/>
    <mergeCell ref="E4:F4"/>
    <mergeCell ref="E5:F5"/>
    <mergeCell ref="E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경비 정산서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2026-10-30T06:52:51Z</dcterms:created>
  <dcterms:modified xsi:type="dcterms:W3CDTF">2026-10-30T06:52:51Z</dcterms:modified>
</cp:coreProperties>
</file>